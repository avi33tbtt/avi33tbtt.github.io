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ranscript Log" sheetId="2" state="visible" r:id="rId4"/>
    <sheet name="Question Quality" sheetId="3" state="visible" r:id="rId5"/>
    <sheet name="Error Log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<sst xmlns="http://schemas.openxmlformats.org/spreadsheetml/2006/main" count="105" uniqueCount="90">
  <si>
    <t xml:space="preserve">VibeRounds Case Bench — Transcript Review Rubric</t>
  </si>
  <si>
    <t xml:space="preserve">For rating clinician-contributed session transcripts on question quality and factual error rate.</t>
  </si>
  <si>
    <t xml:space="preserve">Purpose</t>
  </si>
  <si>
    <t xml:space="preserve">This is a lightweight rating pass on real user-submitted transcripts (from Case Bench's anonymous contribution feature). The goal is NOT to test whether Socratic teaching beats lecture — that's already well-supported in the literature. The goal is narrower and specific to this tool: (1) how good are the questions it generates, and (2) how often does it state something false or unverifiable with unwarranted confidence.</t>
  </si>
  <si>
    <t xml:space="preserve">Who should rate</t>
  </si>
  <si>
    <t xml:space="preserve">Ideally 2 independent clinician raters per transcript (inter-rater), so disagreement itself becomes a useful signal — flag transcripts where raters diverge by 2+ points on any score for discussion.</t>
  </si>
  <si>
    <t xml:space="preserve">How to use this workbook</t>
  </si>
  <si>
    <t xml:space="preserve">1. Paste each transcript's session ID/date and case type into 'Transcript Log'.</t>
  </si>
  <si>
    <t xml:space="preserve">2. For each transcript, fill one row in 'Question Quality' scoring the AI's questions (not its final answers).</t>
  </si>
  <si>
    <t xml:space="preserve">3. For each transcript, log every distinct factual/clinical claim you can check in 'Error Log' — mark it Accurate / Inaccurate / Unverifiable, and note the source you checked it against if you can.</t>
  </si>
  <si>
    <t xml:space="preserve">4. 'Summary' auto-calculates averages and an error rate once you've entered rows — don't edit its formula cells directly.</t>
  </si>
  <si>
    <t xml:space="preserve">Sample size note</t>
  </si>
  <si>
    <t xml:space="preserve">Aim for at least 30-50 rated transcripts before treating the error rate as more than anecdote. Contributed sessions are self-selected (engaged users, whatever case they happened to paste) — note this as a limitation in any write-up, not a representative sample.</t>
  </si>
  <si>
    <t xml:space="preserve">Color legend</t>
  </si>
  <si>
    <t xml:space="preserve">Pale yellow cells = fill these in. Everything else is either a label or an auto-calculating formula.</t>
  </si>
  <si>
    <t xml:space="preserve">Transcript ID</t>
  </si>
  <si>
    <t xml:space="preserve">Date submitted</t>
  </si>
  <si>
    <t xml:space="preserve">Case type</t>
  </si>
  <si>
    <t xml:space="preserve">Module(s)/Pipeline run</t>
  </si>
  <si>
    <t xml:space="preserve">Rater name</t>
  </si>
  <si>
    <t xml:space="preserve">Notes</t>
  </si>
  <si>
    <t xml:space="preserve">T-0001</t>
  </si>
  <si>
    <t xml:space="preserve">2026-07-01</t>
  </si>
  <si>
    <t xml:space="preserve">DKA / sepsis (ED)</t>
  </si>
  <si>
    <t xml:space="preserve">M17 -&gt; M12 -&gt; M30</t>
  </si>
  <si>
    <t xml:space="preserve">Dr. A. Rai</t>
  </si>
  <si>
    <t xml:space="preserve">First batch, contributed via Case Bench</t>
  </si>
  <si>
    <t xml:space="preserve">Rater</t>
  </si>
  <si>
    <t xml:space="preserve">Persona/Module used</t>
  </si>
  <si>
    <t xml:space="preserve">Commitment enforced? (Y/N)</t>
  </si>
  <si>
    <t xml:space="preserve">Question specificity (1-5)</t>
  </si>
  <si>
    <t xml:space="preserve">Question relevance to case (1-5)</t>
  </si>
  <si>
    <t xml:space="preserve">Hint escalation appropriate (1-5)</t>
  </si>
  <si>
    <t xml:space="preserve">Avoided premature answer-giving (1-5)</t>
  </si>
  <si>
    <t xml:space="preserve">Overall question quality (1-5)</t>
  </si>
  <si>
    <t xml:space="preserve">Comments</t>
  </si>
  <si>
    <t xml:space="preserve">e.g. T-0001</t>
  </si>
  <si>
    <t xml:space="preserve">initials</t>
  </si>
  <si>
    <t xml:space="preserve">e.g. Socratic Attending</t>
  </si>
  <si>
    <t xml:space="preserve">Did it require a committed answer before hinting?</t>
  </si>
  <si>
    <t xml:space="preserve">1=vague/generic, 5=precise to this case's findings</t>
  </si>
  <si>
    <t xml:space="preserve">1=off-topic, 5=directly probes the key clinical issue</t>
  </si>
  <si>
    <t xml:space="preserve">1=jumped to full answer, 5=proper tiered reveal</t>
  </si>
  <si>
    <t xml:space="preserve">1=gave answer immediately, 5=fully withheld until earned</t>
  </si>
  <si>
    <t xml:space="preserve">1=poor, 5=excellent</t>
  </si>
  <si>
    <t xml:space="preserve">free text</t>
  </si>
  <si>
    <t xml:space="preserve">AR</t>
  </si>
  <si>
    <t xml:space="preserve">Socratic Attending</t>
  </si>
  <si>
    <t xml:space="preserve">Y</t>
  </si>
  <si>
    <t xml:space="preserve">Good anchoring probe re: HbA1c vs severity of acidosis; one hint tier felt redundant</t>
  </si>
  <si>
    <t xml:space="preserve">Claim made by AI (short quote/paraphrase)</t>
  </si>
  <si>
    <t xml:space="preserve">Category</t>
  </si>
  <si>
    <t xml:space="preserve">Verdict</t>
  </si>
  <si>
    <t xml:space="preserve">Confidence AI expressed</t>
  </si>
  <si>
    <t xml:space="preserve">Source checked against</t>
  </si>
  <si>
    <t xml:space="preserve">Severity if wrong (1-3)</t>
  </si>
  <si>
    <t xml:space="preserve">paraphrase the specific factual/clinical claim</t>
  </si>
  <si>
    <t xml:space="preserve">Diagnosis / Drug-dose / Statistic / Mechanism / Other</t>
  </si>
  <si>
    <t xml:space="preserve">Accurate / Inaccurate / Unverifiable</t>
  </si>
  <si>
    <t xml:space="preserve">e.g. stated as certain, hedged, framed as ordinal only</t>
  </si>
  <si>
    <t xml:space="preserve">UpToDate, guideline name, textbook, N/A</t>
  </si>
  <si>
    <t xml:space="preserve">1=trivial, 2=would mislead, 3=could cause harm if acted on</t>
  </si>
  <si>
    <t xml:space="preserve">Claimed HbA1c 6.8% makes deep DKA 'highly unusual' without extreme stress/alt mechanism</t>
  </si>
  <si>
    <t xml:space="preserve">Mechanism</t>
  </si>
  <si>
    <t xml:space="preserve">Accurate</t>
  </si>
  <si>
    <t xml:space="preserve">Hedged (ordinal, not numeric)</t>
  </si>
  <si>
    <t xml:space="preserve">Internal med reasoning / clinical judgment</t>
  </si>
  <si>
    <t xml:space="preserve">Reasonable flag, not overconfident</t>
  </si>
  <si>
    <t xml:space="preserve">Summary — auto-calculated from other sheets</t>
  </si>
  <si>
    <t xml:space="preserve">Metric</t>
  </si>
  <si>
    <t xml:space="preserve">Value</t>
  </si>
  <si>
    <t xml:space="preserve">Transcripts logged</t>
  </si>
  <si>
    <t xml:space="preserve">Count of rows entered in Transcript Log</t>
  </si>
  <si>
    <t xml:space="preserve">Rows scored (Question Quality)</t>
  </si>
  <si>
    <t xml:space="preserve">Avg. question specificity</t>
  </si>
  <si>
    <t xml:space="preserve">1-5 scale</t>
  </si>
  <si>
    <t xml:space="preserve">Avg. question relevance</t>
  </si>
  <si>
    <t xml:space="preserve">Avg. hint escalation quality</t>
  </si>
  <si>
    <t xml:space="preserve">Avg. answer-withholding discipline</t>
  </si>
  <si>
    <t xml:space="preserve">Avg. overall question quality</t>
  </si>
  <si>
    <t xml:space="preserve">% sessions with commitment enforced</t>
  </si>
  <si>
    <t xml:space="preserve">Format as %</t>
  </si>
  <si>
    <t xml:space="preserve">Total claims logged</t>
  </si>
  <si>
    <t xml:space="preserve">Claims: Accurate</t>
  </si>
  <si>
    <t xml:space="preserve">Claims: Inaccurate</t>
  </si>
  <si>
    <t xml:space="preserve">Claims: Unverifiable</t>
  </si>
  <si>
    <t xml:space="preserve">Error rate (Inaccurate / Total)</t>
  </si>
  <si>
    <t xml:space="preserve">Format as %; the key headline number</t>
  </si>
  <si>
    <t xml:space="preserve">High-severity errors (severity=3)</t>
  </si>
  <si>
    <t xml:space="preserve">Errors that could mislead toward harm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</si>
</sst>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891B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891B2"/>
        <bgColor rgb="FF008080"/>
      </patternFill>
    </fill>
    <fill>
      <patternFill patternType="solid">
        <fgColor rgb="FFE8F4F8"/>
        <bgColor rgb="FFFFFFFF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B7B7B7"/>
      <rgbColor rgb="FF808080"/>
      <rgbColor rgb="FF9999FF"/>
      <rgbColor rgb="FF993366"/>
      <rgbColor rgb="FFFFF9C4"/>
      <rgbColor rgb="FFE8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.75" hidden="false" customHeight="true" outlineLevel="0" collapsed="false">
      <c r="A5" s="4" t="s">
        <v>2</v>
      </c>
    </row>
    <row r="6" customFormat="false" ht="30" hidden="false" customHeight="true" outlineLevel="0" collapsed="false">
      <c r="A6" s="3" t="s">
        <v>3</v>
      </c>
    </row>
    <row r="7" customFormat="false" ht="15" hidden="false" customHeight="false" outlineLevel="0" collapsed="false">
      <c r="A7" s="3"/>
    </row>
    <row r="8" customFormat="false" ht="15.75" hidden="false" customHeight="true" outlineLevel="0" collapsed="false">
      <c r="A8" s="4" t="s">
        <v>4</v>
      </c>
    </row>
    <row r="9" customFormat="false" ht="30" hidden="false" customHeight="true" outlineLevel="0" collapsed="false">
      <c r="A9" s="3" t="s">
        <v>5</v>
      </c>
    </row>
    <row r="10" customFormat="false" ht="15" hidden="false" customHeight="false" outlineLevel="0" collapsed="false">
      <c r="A10" s="3"/>
    </row>
    <row r="11" customFormat="false" ht="15.75" hidden="false" customHeight="true" outlineLevel="0" collapsed="false">
      <c r="A11" s="4" t="s">
        <v>6</v>
      </c>
    </row>
    <row r="12" customFormat="false" ht="15.75" hidden="false" customHeight="true" outlineLevel="0" collapsed="false">
      <c r="A12" s="3" t="s">
        <v>7</v>
      </c>
    </row>
    <row r="13" customFormat="false" ht="30" hidden="false" customHeight="true" outlineLevel="0" collapsed="false">
      <c r="A13" s="3" t="s">
        <v>8</v>
      </c>
    </row>
    <row r="14" customFormat="false" ht="30" hidden="false" customHeight="true" outlineLevel="0" collapsed="false">
      <c r="A14" s="3" t="s">
        <v>9</v>
      </c>
    </row>
    <row r="15" customFormat="false" ht="30" hidden="false" customHeight="true" outlineLevel="0" collapsed="false">
      <c r="A15" s="3" t="s">
        <v>10</v>
      </c>
    </row>
    <row r="16" customFormat="false" ht="15" hidden="false" customHeight="false" outlineLevel="0" collapsed="false">
      <c r="A16" s="3"/>
    </row>
    <row r="17" customFormat="false" ht="15.75" hidden="false" customHeight="true" outlineLevel="0" collapsed="false">
      <c r="A17" s="4" t="s">
        <v>11</v>
      </c>
    </row>
    <row r="18" customFormat="false" ht="30" hidden="false" customHeight="true" outlineLevel="0" collapsed="false">
      <c r="A18" s="3" t="s">
        <v>12</v>
      </c>
    </row>
    <row r="19" customFormat="false" ht="15" hidden="false" customHeight="false" outlineLevel="0" collapsed="false">
      <c r="A19" s="3"/>
    </row>
    <row r="20" customFormat="false" ht="15.75" hidden="false" customHeight="true" outlineLevel="0" collapsed="false">
      <c r="A20" s="4" t="s">
        <v>13</v>
      </c>
    </row>
    <row r="21" customFormat="false" ht="30" hidden="false" customHeight="true" outlineLevel="0" collapsed="false">
      <c r="A21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</row>
    <row r="2" customFormat="false" ht="15" hidden="false" customHeight="false" outlineLevel="0" collapsed="false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7" min="4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42" hidden="false" customHeight="true" outlineLevel="0" collapsed="false">
      <c r="A1" s="5" t="s">
        <v>15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</row>
    <row r="2" customFormat="false" ht="39.75" hidden="false" customHeight="true" outlineLevel="0" collapsed="false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 t="s">
        <v>44</v>
      </c>
      <c r="J2" s="8" t="s">
        <v>45</v>
      </c>
    </row>
    <row r="3" customFormat="false" ht="23.85" hidden="false" customHeight="false" outlineLevel="0" collapsed="false">
      <c r="A3" s="6" t="s">
        <v>21</v>
      </c>
      <c r="B3" s="6" t="s">
        <v>46</v>
      </c>
      <c r="C3" s="6" t="s">
        <v>47</v>
      </c>
      <c r="D3" s="6" t="s">
        <v>48</v>
      </c>
      <c r="E3" s="6" t="n">
        <v>4</v>
      </c>
      <c r="F3" s="6" t="n">
        <v>5</v>
      </c>
      <c r="G3" s="6" t="n">
        <v>4</v>
      </c>
      <c r="H3" s="6" t="n">
        <v>5</v>
      </c>
      <c r="I3" s="6" t="n">
        <v>4</v>
      </c>
      <c r="J3" s="6" t="s">
        <v>49</v>
      </c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</row>
  </sheetData>
  <dataValidations count="2">
    <dataValidation allowBlank="true" error="Enter a number 1-5" errorStyle="stop" operator="between" showDropDown="false" showErrorMessage="false" showInputMessage="false" sqref="E4:I200" type="whole">
      <formula1>1</formula1>
      <formula2>5</formula2>
    </dataValidation>
    <dataValidation allowBlank="true" errorStyle="stop" operator="between" showDropDown="false" showErrorMessage="false" showInputMessage="false" sqref="D4:D2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5" t="s">
        <v>15</v>
      </c>
      <c r="B1" s="5" t="s">
        <v>27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20</v>
      </c>
    </row>
    <row r="2" customFormat="false" ht="39.75" hidden="false" customHeight="true" outlineLevel="0" collapsed="false">
      <c r="A2" s="8" t="s">
        <v>36</v>
      </c>
      <c r="B2" s="8" t="s">
        <v>37</v>
      </c>
      <c r="C2" s="8" t="s">
        <v>56</v>
      </c>
      <c r="D2" s="8" t="s">
        <v>57</v>
      </c>
      <c r="E2" s="8" t="s">
        <v>58</v>
      </c>
      <c r="F2" s="8" t="s">
        <v>59</v>
      </c>
      <c r="G2" s="8" t="s">
        <v>60</v>
      </c>
      <c r="H2" s="8" t="s">
        <v>61</v>
      </c>
      <c r="I2" s="8" t="s">
        <v>45</v>
      </c>
    </row>
    <row r="3" customFormat="false" ht="23.85" hidden="false" customHeight="false" outlineLevel="0" collapsed="false">
      <c r="A3" s="6" t="s">
        <v>21</v>
      </c>
      <c r="B3" s="6" t="s">
        <v>46</v>
      </c>
      <c r="C3" s="6" t="s">
        <v>62</v>
      </c>
      <c r="D3" s="6" t="s">
        <v>63</v>
      </c>
      <c r="E3" s="6" t="s">
        <v>64</v>
      </c>
      <c r="F3" s="6" t="s">
        <v>65</v>
      </c>
      <c r="G3" s="6" t="s">
        <v>66</v>
      </c>
      <c r="H3" s="6" t="n">
        <v>2</v>
      </c>
      <c r="I3" s="6" t="s">
        <v>67</v>
      </c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</row>
  </sheetData>
  <dataValidations count="3">
    <dataValidation allowBlank="true" errorStyle="stop" operator="between" showDropDown="false" showErrorMessage="false" showInputMessage="false" sqref="D4:D200" type="list">
      <formula1>"Diagnosis,Drug-dose,Statistic,Mechanism,Guideline,Other"</formula1>
      <formula2>0</formula2>
    </dataValidation>
    <dataValidation allowBlank="true" errorStyle="stop" operator="between" showDropDown="false" showErrorMessage="false" showInputMessage="false" sqref="E4:E200" type="list">
      <formula1>"Accurate,Inaccurate,Unverifiable"</formula1>
      <formula2>0</formula2>
    </dataValidation>
    <dataValidation allowBlank="true" errorStyle="stop" operator="between" showDropDown="false" showErrorMessage="false" showInputMessage="false" sqref="H4:H200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9" t="s">
        <v>68</v>
      </c>
      <c r="B1" s="9"/>
      <c r="C1" s="9"/>
    </row>
    <row r="3" customFormat="false" ht="15" hidden="false" customHeight="false" outlineLevel="0" collapsed="false">
      <c r="A3" s="10" t="s">
        <v>69</v>
      </c>
      <c r="B3" s="10" t="s">
        <v>70</v>
      </c>
      <c r="C3" s="10" t="s">
        <v>20</v>
      </c>
    </row>
    <row r="4" customFormat="false" ht="15" hidden="false" customHeight="false" outlineLevel="0" collapsed="false">
      <c r="A4" s="11" t="s">
        <v>71</v>
      </c>
      <c r="B4" s="12" t="n">
        <f aca="false">COUNTA('Transcript Log'!A3:A60)</f>
        <v>0</v>
      </c>
      <c r="C4" s="12" t="s">
        <v>72</v>
      </c>
    </row>
    <row r="5" customFormat="false" ht="15" hidden="false" customHeight="false" outlineLevel="0" collapsed="false">
      <c r="A5" s="11" t="s">
        <v>73</v>
      </c>
      <c r="B5" s="12" t="n">
        <f aca="false">COUNTA('Question Quality'!A4:A200)</f>
        <v>0</v>
      </c>
      <c r="C5" s="12"/>
    </row>
    <row r="6" customFormat="false" ht="15" hidden="false" customHeight="false" outlineLevel="0" collapsed="false">
      <c r="A6" s="11" t="s">
        <v>74</v>
      </c>
      <c r="B6" s="12" t="str">
        <f aca="false">IFERROR(AVERAGE('Question Quality'!E4:E200),"-")</f>
        <v>-</v>
      </c>
      <c r="C6" s="12" t="s">
        <v>75</v>
      </c>
    </row>
    <row r="7" customFormat="false" ht="15" hidden="false" customHeight="false" outlineLevel="0" collapsed="false">
      <c r="A7" s="11" t="s">
        <v>76</v>
      </c>
      <c r="B7" s="12" t="str">
        <f aca="false">IFERROR(AVERAGE('Question Quality'!F4:F200),"-")</f>
        <v>-</v>
      </c>
      <c r="C7" s="12" t="s">
        <v>75</v>
      </c>
    </row>
    <row r="8" customFormat="false" ht="15" hidden="false" customHeight="false" outlineLevel="0" collapsed="false">
      <c r="A8" s="11" t="s">
        <v>77</v>
      </c>
      <c r="B8" s="12" t="str">
        <f aca="false">IFERROR(AVERAGE('Question Quality'!G4:G200),"-")</f>
        <v>-</v>
      </c>
      <c r="C8" s="12" t="s">
        <v>75</v>
      </c>
    </row>
    <row r="9" customFormat="false" ht="15" hidden="false" customHeight="false" outlineLevel="0" collapsed="false">
      <c r="A9" s="11" t="s">
        <v>78</v>
      </c>
      <c r="B9" s="12" t="str">
        <f aca="false">IFERROR(AVERAGE('Question Quality'!H4:H200),"-")</f>
        <v>-</v>
      </c>
      <c r="C9" s="12" t="s">
        <v>75</v>
      </c>
    </row>
    <row r="10" customFormat="false" ht="15" hidden="false" customHeight="false" outlineLevel="0" collapsed="false">
      <c r="A10" s="11" t="s">
        <v>79</v>
      </c>
      <c r="B10" s="13" t="str">
        <f aca="false">IFERROR(AVERAGE('Question Quality'!I4:I200),"-")</f>
        <v>-</v>
      </c>
      <c r="C10" s="12" t="s">
        <v>75</v>
      </c>
    </row>
    <row r="11" customFormat="false" ht="15" hidden="false" customHeight="false" outlineLevel="0" collapsed="false">
      <c r="A11" s="11" t="s">
        <v>80</v>
      </c>
      <c r="B11" s="12" t="str">
        <f aca="false">IFERROR(COUNTIF('Question Quality'!D4:D200,"Y")/COUNTA('Question Quality'!D4:D200),"-")</f>
        <v>-</v>
      </c>
      <c r="C11" s="12" t="s">
        <v>81</v>
      </c>
    </row>
    <row r="12" customFormat="false" ht="15" hidden="false" customHeight="false" outlineLevel="0" collapsed="false">
      <c r="A12" s="11"/>
      <c r="B12" s="12"/>
      <c r="C12" s="12"/>
    </row>
    <row r="13" customFormat="false" ht="15" hidden="false" customHeight="false" outlineLevel="0" collapsed="false">
      <c r="A13" s="11" t="s">
        <v>82</v>
      </c>
      <c r="B13" s="12" t="n">
        <f aca="false">COUNTA('Error Log'!C4:C200)</f>
        <v>0</v>
      </c>
      <c r="C13" s="12"/>
    </row>
    <row r="14" customFormat="false" ht="15" hidden="false" customHeight="false" outlineLevel="0" collapsed="false">
      <c r="A14" s="11" t="s">
        <v>83</v>
      </c>
      <c r="B14" s="12" t="n">
        <f aca="false">COUNTIF('Error Log'!E4:E200,"Accurate")</f>
        <v>0</v>
      </c>
      <c r="C14" s="12"/>
    </row>
    <row r="15" customFormat="false" ht="15" hidden="false" customHeight="false" outlineLevel="0" collapsed="false">
      <c r="A15" s="11" t="s">
        <v>84</v>
      </c>
      <c r="B15" s="12" t="n">
        <f aca="false">COUNTIF('Error Log'!E4:E200,"Inaccurate")</f>
        <v>0</v>
      </c>
      <c r="C15" s="12"/>
    </row>
    <row r="16" customFormat="false" ht="15" hidden="false" customHeight="false" outlineLevel="0" collapsed="false">
      <c r="A16" s="11" t="s">
        <v>85</v>
      </c>
      <c r="B16" s="12" t="n">
        <f aca="false">COUNTIF('Error Log'!E4:E200,"Unverifiable")</f>
        <v>0</v>
      </c>
      <c r="C16" s="12"/>
    </row>
    <row r="17" customFormat="false" ht="15" hidden="false" customHeight="false" outlineLevel="0" collapsed="false">
      <c r="A17" s="11" t="s">
        <v>86</v>
      </c>
      <c r="B17" s="12" t="str">
        <f aca="false">IFERROR(COUNTIF('Error Log'!E4:E200,"Inaccurate")/COUNTA('Error Log'!C4:C200),"-")</f>
        <v>-</v>
      </c>
      <c r="C17" s="12" t="s">
        <v>87</v>
      </c>
    </row>
    <row r="18" customFormat="false" ht="15" hidden="false" customHeight="false" outlineLevel="0" collapsed="false">
      <c r="A18" s="11" t="s">
        <v>88</v>
      </c>
      <c r="B18" s="13" t="n">
        <f aca="false">COUNTIFS('Error Log'!E4:E200,"Inaccurate",'Error Log'!H4:H200,3)</f>
        <v>0</v>
      </c>
      <c r="C18" s="12" t="s">
        <v>89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2026-07-23T06:33:05Z</dcterms:created>
  <dc:creator>openpyxl</dc:creator>
  <dc:description/>
  <dc:language>en-US</dc:language>
  <cp:lastModifiedBy/>
  <dcterms:modified xsi:type="dcterms:W3CDTF">2026-07-23T06:33:05Z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